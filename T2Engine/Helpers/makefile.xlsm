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80599\Documents\Repos\T2Engine\T2Engine\Helpers\"/>
    </mc:Choice>
  </mc:AlternateContent>
  <bookViews>
    <workbookView xWindow="22050" yWindow="15" windowWidth="19035" windowHeight="12015" tabRatio="970"/>
  </bookViews>
  <sheets>
    <sheet name="SheetA" sheetId="189" r:id="rId1"/>
    <sheet name="_Sheet1" sheetId="194" r:id="rId2"/>
  </sheets>
  <functionGroups builtInGroupCount="18"/>
  <definedNames>
    <definedName name="bb">SheetA!$A:$A</definedName>
  </definedNames>
  <calcPr calcId="152511"/>
</workbook>
</file>

<file path=xl/calcChain.xml><?xml version="1.0" encoding="utf-8"?>
<calcChain xmlns="http://schemas.openxmlformats.org/spreadsheetml/2006/main">
  <c r="Q34" i="189" l="1"/>
  <c r="Q33" i="189"/>
  <c r="Q32" i="189"/>
  <c r="Q31" i="189"/>
  <c r="Q30" i="189"/>
  <c r="Q29" i="189"/>
  <c r="Q28" i="189"/>
  <c r="Q27" i="189"/>
  <c r="Q26" i="189"/>
  <c r="Q25" i="189"/>
  <c r="Q24" i="189"/>
  <c r="Q23" i="189"/>
  <c r="Q22" i="189"/>
  <c r="Q21" i="189"/>
  <c r="Q20" i="189"/>
  <c r="Q19" i="189"/>
  <c r="Q18" i="189"/>
  <c r="Q17" i="189"/>
  <c r="Q16" i="189"/>
  <c r="Q15" i="189"/>
  <c r="Q14" i="189"/>
  <c r="Q13" i="189"/>
  <c r="Q12" i="189"/>
  <c r="Q11" i="189"/>
  <c r="Q10" i="189"/>
  <c r="Q9" i="189"/>
  <c r="Q8" i="189"/>
  <c r="Q7" i="189"/>
  <c r="Q6" i="189"/>
  <c r="Q5" i="189"/>
  <c r="Q4" i="189"/>
  <c r="Q3" i="189"/>
  <c r="Q2" i="189"/>
  <c r="Q1" i="189"/>
  <c r="D4" i="189" l="1"/>
  <c r="D8" i="189"/>
  <c r="D12" i="189"/>
  <c r="D16" i="189"/>
  <c r="D20" i="189"/>
  <c r="D24" i="189"/>
  <c r="D28" i="189"/>
  <c r="D32" i="189"/>
  <c r="C2" i="189"/>
  <c r="D2" i="189" s="1"/>
  <c r="C3" i="189"/>
  <c r="C4" i="189"/>
  <c r="C5" i="189"/>
  <c r="D5" i="189" s="1"/>
  <c r="C6" i="189"/>
  <c r="D6" i="189" s="1"/>
  <c r="C7" i="189"/>
  <c r="C8" i="189"/>
  <c r="C9" i="189"/>
  <c r="D9" i="189" s="1"/>
  <c r="C10" i="189"/>
  <c r="D10" i="189" s="1"/>
  <c r="C11" i="189"/>
  <c r="C12" i="189"/>
  <c r="C13" i="189"/>
  <c r="D13" i="189" s="1"/>
  <c r="C14" i="189"/>
  <c r="D14" i="189" s="1"/>
  <c r="C15" i="189"/>
  <c r="C16" i="189"/>
  <c r="C17" i="189"/>
  <c r="D17" i="189" s="1"/>
  <c r="C18" i="189"/>
  <c r="D18" i="189" s="1"/>
  <c r="C19" i="189"/>
  <c r="C20" i="189"/>
  <c r="C21" i="189"/>
  <c r="D21" i="189" s="1"/>
  <c r="C22" i="189"/>
  <c r="D22" i="189" s="1"/>
  <c r="C23" i="189"/>
  <c r="C24" i="189"/>
  <c r="C25" i="189"/>
  <c r="D25" i="189" s="1"/>
  <c r="C26" i="189"/>
  <c r="D26" i="189" s="1"/>
  <c r="C27" i="189"/>
  <c r="C28" i="189"/>
  <c r="C29" i="189"/>
  <c r="D29" i="189" s="1"/>
  <c r="C30" i="189"/>
  <c r="D30" i="189" s="1"/>
  <c r="C31" i="189"/>
  <c r="C32" i="189"/>
  <c r="C33" i="189"/>
  <c r="D33" i="189" s="1"/>
  <c r="C34" i="189"/>
  <c r="D34" i="189" s="1"/>
  <c r="C1" i="189"/>
  <c r="D1" i="189" l="1"/>
  <c r="D31" i="189"/>
  <c r="D27" i="189"/>
  <c r="D23" i="189"/>
  <c r="D19" i="189"/>
  <c r="D15" i="189"/>
  <c r="D11" i="189"/>
  <c r="D7" i="189"/>
  <c r="D3" i="189"/>
</calcChain>
</file>

<file path=xl/sharedStrings.xml><?xml version="1.0" encoding="utf-8"?>
<sst xmlns="http://schemas.openxmlformats.org/spreadsheetml/2006/main" count="69" uniqueCount="38">
  <si>
    <t>FILLER</t>
  </si>
  <si>
    <t>FECHEXDW</t>
  </si>
  <si>
    <t xml:space="preserve">IDEMPR  </t>
  </si>
  <si>
    <t xml:space="preserve">IDCENT  </t>
  </si>
  <si>
    <t xml:space="preserve">IDPROD  </t>
  </si>
  <si>
    <t xml:space="preserve">IDCONTR </t>
  </si>
  <si>
    <t xml:space="preserve">COCONCLI </t>
  </si>
  <si>
    <t>FECOMVAL</t>
  </si>
  <si>
    <t>FEFINVAL</t>
  </si>
  <si>
    <t>COPERLIQ</t>
  </si>
  <si>
    <t>COPERAMO</t>
  </si>
  <si>
    <t>INTDLIQU</t>
  </si>
  <si>
    <t>INTDAMOR</t>
  </si>
  <si>
    <t>INLIQUID</t>
  </si>
  <si>
    <t>COTAMORT</t>
  </si>
  <si>
    <t>INTDOCUM</t>
  </si>
  <si>
    <t>COPERLIE</t>
  </si>
  <si>
    <t>COTAPLRE</t>
  </si>
  <si>
    <t xml:space="preserve">INVARAM </t>
  </si>
  <si>
    <t xml:space="preserve">INPERIOD </t>
  </si>
  <si>
    <t xml:space="preserve">RAZONVAR </t>
  </si>
  <si>
    <t xml:space="preserve">COPEVARI </t>
  </si>
  <si>
    <t xml:space="preserve">NUMEJEMP </t>
  </si>
  <si>
    <t xml:space="preserve">NUDIVFIJ </t>
  </si>
  <si>
    <t xml:space="preserve">INCALDIA </t>
  </si>
  <si>
    <t>USUAUL</t>
  </si>
  <si>
    <t>FECHUL</t>
  </si>
  <si>
    <t xml:space="preserve">RETLICAN </t>
  </si>
  <si>
    <t xml:space="preserve">INDSISLI </t>
  </si>
  <si>
    <t>INDESEXC</t>
  </si>
  <si>
    <t>DIVFIJHB</t>
  </si>
  <si>
    <t xml:space="preserve">DIASCOB </t>
  </si>
  <si>
    <t>DIACOBRO</t>
  </si>
  <si>
    <t>DIALIQ</t>
  </si>
  <si>
    <t>it dates</t>
  </si>
  <si>
    <t>Alphanumeric</t>
  </si>
  <si>
    <t>S9 (m) V (n) COMP-3</t>
  </si>
  <si>
    <t>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</si>
</sst>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  <font>
      <sz val="8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0" fillId="0" borderId="0" xfId="0" quotePrefix="1" applyFill="1" applyBorder="1" applyAlignment="1">
      <alignment horizontal="center"/>
    </xf>
    <xf numFmtId="0" fontId="0" fillId="0" borderId="0" xfId="0" applyFill="1" applyBorder="1" applyAlignment="1">
      <alignment horizontal="left" wrapText="1"/>
    </xf>
    <xf numFmtId="0" fontId="0" fillId="0" borderId="0" xfId="0" applyFill="1" applyBorder="1" applyAlignment="1">
      <alignment horizontal="center"/>
    </xf>
    <xf numFmtId="0" fontId="2" fillId="2" borderId="2" xfId="1" applyFont="1" applyFill="1" applyBorder="1" applyAlignment="1">
      <alignment horizontal="left" vertical="top"/>
    </xf>
    <xf numFmtId="0" fontId="2" fillId="2" borderId="1" xfId="1" applyFont="1" applyFill="1" applyBorder="1" applyAlignment="1">
      <alignment horizontal="left" vertical="top"/>
    </xf>
    <xf numFmtId="0" fontId="2" fillId="2" borderId="2" xfId="1" applyFont="1" applyFill="1" applyBorder="1" applyAlignment="1">
      <alignment horizontal="left" vertical="center"/>
    </xf>
    <xf numFmtId="0" fontId="2" fillId="0" borderId="2" xfId="1" applyFont="1" applyBorder="1" applyAlignment="1">
      <alignment horizontal="left"/>
    </xf>
    <xf numFmtId="0" fontId="2" fillId="0" borderId="2" xfId="1" applyFont="1" applyBorder="1" applyAlignment="1">
      <alignment horizontal="left" vertical="center"/>
    </xf>
    <xf numFmtId="0" fontId="3" fillId="0" borderId="1" xfId="1" applyFont="1" applyBorder="1" applyAlignment="1">
      <alignment horizontal="left" vertical="center"/>
    </xf>
    <xf numFmtId="0" fontId="3" fillId="0" borderId="1" xfId="1" applyFont="1" applyFill="1" applyBorder="1" applyAlignment="1">
      <alignment horizontal="left" vertical="center"/>
    </xf>
    <xf numFmtId="0" fontId="0" fillId="0" borderId="0" xfId="0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7"/>
  <sheetViews>
    <sheetView tabSelected="1" topLeftCell="E1" workbookViewId="0">
      <selection activeCell="E5" sqref="E5"/>
    </sheetView>
  </sheetViews>
  <sheetFormatPr defaultColWidth="16.140625" defaultRowHeight="15" x14ac:dyDescent="0.25"/>
  <cols>
    <col min="1" max="3" width="16.140625" style="1"/>
    <col min="4" max="4" width="24.5703125" bestFit="1" customWidth="1"/>
    <col min="5" max="5" width="100.7109375" style="1" customWidth="1"/>
    <col min="6" max="16" width="16.140625" style="1"/>
    <col min="17" max="17" width="255.7109375" style="1" bestFit="1" customWidth="1"/>
    <col min="18" max="16384" width="16.140625" style="1"/>
  </cols>
  <sheetData>
    <row r="1" spans="1:19" x14ac:dyDescent="0.25">
      <c r="A1" s="6" t="s">
        <v>1</v>
      </c>
      <c r="B1" s="9">
        <v>10</v>
      </c>
      <c r="C1" s="2" t="str">
        <f t="shared" ref="C1:C34" si="0">IF(IFERROR(SEARCH("comp-3",M1),"0")="0","SQLCHAR","SQLBINARY")</f>
        <v>SQLCHAR</v>
      </c>
      <c r="D1" t="str">
        <f t="shared" ref="D1:D34" si="1">IF(C1="SQLCHAR",CONCATENATE(A1,"  VARCHAR(",B1,"),"),CONCATENATE(A1,"  BINARY(",B1,"),"))</f>
        <v>FECHEXDW  VARCHAR(10),</v>
      </c>
      <c r="E1" s="1" t="s">
        <v>37</v>
      </c>
      <c r="J1" s="2"/>
      <c r="K1" s="2"/>
      <c r="L1" s="2"/>
      <c r="M1" s="11" t="s">
        <v>34</v>
      </c>
      <c r="N1" s="2"/>
      <c r="Q1" s="1" t="str">
        <f t="shared" ref="Q1:Q34" si="2">IF(O1="SQLCHAR",CONCATENATE("LTRIM(RTRIM([", TRIM(M1), "]))  AS [", TRIM(M1), "],"),CONCATENATE("LTRIM(RTRIM(CAST(
 CASE
  WHEN RIGHT(CONVERT(VARCHAR(", N1*2,"), CAST([", TRIM(M1), "] AS BINARY),2),1) !='C' AND
    RIGHT(CONVERT(VARCHAR(", N1*2,"), CAST([", TRIM(M1), "] AS BINARY),2),1) !='D' AND
    RIGHT(CONVERT(VARCHAR(", N1*2,"), CAST([", TRIM(M1), "] AS BINARY),2),1) !='F' THEN ''
 ELSE CASE
     WHEN RIGHT(CONVERT(VARCHAR(", N1*2,"), CAST([", TRIM(M1), "] AS BINARY),2),1) ='C' THEN ''
     WHEN RIGHT(CONVERT(VARCHAR(", N1*2,"), CAST([", TRIM(M1), "] AS BINARY),2),1)='D' THEN '-'
     WHEN RIGHT(CONVERT(VARCHAR(", N1*2,"), CAST([", TRIM(M1), "] AS BINARY),2),1) ='F' THEN ''
   ELSE ''
   END + LEFT(CONVERT(VARCHAR(", N1*2,"), CAST([", TRIM(M1), "] AS BINARY),2),",(N1*2)-1,")
 END AS VARCHAR(", N1*2,")))) AS [", TRIM(M1), "],"))</f>
        <v>LTRIM(RTRIM(CAST(
 CASE
  WHEN RIGHT(CONVERT(VARCHAR(0), CAST([it dates] AS BINARY),2),1) !='C' AND
    RIGHT(CONVERT(VARCHAR(0), CAST([it dates] AS BINARY),2),1) !='D' AND
    RIGHT(CONVERT(VARCHAR(0), CAST([it dates] AS BINARY),2),1) !='F' THEN ''
 ELSE CASE
     WHEN RIGHT(CONVERT(VARCHAR(0), CAST([it dates] AS BINARY),2),1) ='C' THEN ''
     WHEN RIGHT(CONVERT(VARCHAR(0), CAST([it dates] AS BINARY),2),1)='D' THEN '-'
     WHEN RIGHT(CONVERT(VARCHAR(0), CAST([it dates] AS BINARY),2),1) ='F' THEN ''
   ELSE ''
   END + LEFT(CONVERT(VARCHAR(0), CAST([it dates] AS BINARY),2),-1)
 END AS VARCHAR(0)))) AS [it dates],</v>
      </c>
      <c r="S1" s="13"/>
    </row>
    <row r="2" spans="1:19" x14ac:dyDescent="0.25">
      <c r="A2" s="6" t="s">
        <v>2</v>
      </c>
      <c r="B2" s="9">
        <v>4</v>
      </c>
      <c r="C2" s="2" t="str">
        <f t="shared" si="0"/>
        <v>SQLCHAR</v>
      </c>
      <c r="D2" s="13" t="str">
        <f t="shared" si="1"/>
        <v>IDEMPR    VARCHAR(4),</v>
      </c>
      <c r="J2" s="2"/>
      <c r="K2" s="2"/>
      <c r="L2" s="2"/>
      <c r="M2" s="11" t="s">
        <v>35</v>
      </c>
      <c r="N2" s="2"/>
      <c r="Q2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3" spans="1:19" x14ac:dyDescent="0.25">
      <c r="A3" s="6" t="s">
        <v>3</v>
      </c>
      <c r="B3" s="9">
        <v>4</v>
      </c>
      <c r="C3" s="2" t="str">
        <f t="shared" si="0"/>
        <v>SQLCHAR</v>
      </c>
      <c r="D3" s="13" t="str">
        <f t="shared" si="1"/>
        <v>IDCENT    VARCHAR(4),</v>
      </c>
      <c r="J3" s="2"/>
      <c r="K3" s="2"/>
      <c r="L3" s="2"/>
      <c r="M3" s="11" t="s">
        <v>35</v>
      </c>
      <c r="N3" s="2"/>
      <c r="Q3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4" spans="1:19" x14ac:dyDescent="0.25">
      <c r="A4" s="6" t="s">
        <v>4</v>
      </c>
      <c r="B4" s="9">
        <v>3</v>
      </c>
      <c r="C4" s="2" t="str">
        <f t="shared" si="0"/>
        <v>SQLCHAR</v>
      </c>
      <c r="D4" s="13" t="str">
        <f t="shared" si="1"/>
        <v>IDPROD    VARCHAR(3),</v>
      </c>
      <c r="J4" s="2"/>
      <c r="K4" s="2"/>
      <c r="L4" s="2"/>
      <c r="M4" s="11" t="s">
        <v>35</v>
      </c>
      <c r="N4" s="2"/>
      <c r="Q4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5" spans="1:19" x14ac:dyDescent="0.25">
      <c r="A5" s="6" t="s">
        <v>5</v>
      </c>
      <c r="B5" s="9">
        <v>7</v>
      </c>
      <c r="C5" s="2" t="str">
        <f t="shared" si="0"/>
        <v>SQLCHAR</v>
      </c>
      <c r="D5" s="13" t="str">
        <f t="shared" si="1"/>
        <v>IDCONTR   VARCHAR(7),</v>
      </c>
      <c r="J5" s="2"/>
      <c r="K5" s="2"/>
      <c r="L5" s="2"/>
      <c r="M5" s="11" t="s">
        <v>35</v>
      </c>
      <c r="N5" s="2"/>
      <c r="Q5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6" spans="1:19" x14ac:dyDescent="0.25">
      <c r="A6" s="6" t="s">
        <v>6</v>
      </c>
      <c r="B6" s="9">
        <v>3</v>
      </c>
      <c r="C6" s="2" t="str">
        <f t="shared" si="0"/>
        <v>SQLCHAR</v>
      </c>
      <c r="D6" s="13" t="str">
        <f t="shared" si="1"/>
        <v>COCONCLI   VARCHAR(3),</v>
      </c>
      <c r="J6" s="2"/>
      <c r="K6" s="2"/>
      <c r="L6" s="2"/>
      <c r="M6" s="11" t="s">
        <v>35</v>
      </c>
      <c r="N6" s="2"/>
      <c r="Q6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7" spans="1:19" x14ac:dyDescent="0.25">
      <c r="A7" s="6" t="s">
        <v>7</v>
      </c>
      <c r="B7" s="9">
        <v>10</v>
      </c>
      <c r="C7" s="2" t="str">
        <f t="shared" si="0"/>
        <v>SQLCHAR</v>
      </c>
      <c r="D7" s="13" t="str">
        <f t="shared" si="1"/>
        <v>FECOMVAL  VARCHAR(10),</v>
      </c>
      <c r="J7" s="2"/>
      <c r="K7" s="2"/>
      <c r="L7" s="2"/>
      <c r="M7" s="11" t="s">
        <v>34</v>
      </c>
      <c r="N7" s="2"/>
      <c r="Q7" s="1" t="str">
        <f t="shared" si="2"/>
        <v>LTRIM(RTRIM(CAST(
 CASE
  WHEN RIGHT(CONVERT(VARCHAR(0), CAST([it dates] AS BINARY),2),1) !='C' AND
    RIGHT(CONVERT(VARCHAR(0), CAST([it dates] AS BINARY),2),1) !='D' AND
    RIGHT(CONVERT(VARCHAR(0), CAST([it dates] AS BINARY),2),1) !='F' THEN ''
 ELSE CASE
     WHEN RIGHT(CONVERT(VARCHAR(0), CAST([it dates] AS BINARY),2),1) ='C' THEN ''
     WHEN RIGHT(CONVERT(VARCHAR(0), CAST([it dates] AS BINARY),2),1)='D' THEN '-'
     WHEN RIGHT(CONVERT(VARCHAR(0), CAST([it dates] AS BINARY),2),1) ='F' THEN ''
   ELSE ''
   END + LEFT(CONVERT(VARCHAR(0), CAST([it dates] AS BINARY),2),-1)
 END AS VARCHAR(0)))) AS [it dates],</v>
      </c>
    </row>
    <row r="8" spans="1:19" x14ac:dyDescent="0.25">
      <c r="A8" s="6" t="s">
        <v>8</v>
      </c>
      <c r="B8" s="9">
        <v>10</v>
      </c>
      <c r="C8" s="2" t="str">
        <f t="shared" si="0"/>
        <v>SQLCHAR</v>
      </c>
      <c r="D8" s="13" t="str">
        <f t="shared" si="1"/>
        <v>FEFINVAL  VARCHAR(10),</v>
      </c>
      <c r="J8" s="2"/>
      <c r="K8" s="2"/>
      <c r="L8" s="2"/>
      <c r="M8" s="11" t="s">
        <v>34</v>
      </c>
      <c r="N8" s="2"/>
      <c r="Q8" s="1" t="str">
        <f t="shared" si="2"/>
        <v>LTRIM(RTRIM(CAST(
 CASE
  WHEN RIGHT(CONVERT(VARCHAR(0), CAST([it dates] AS BINARY),2),1) !='C' AND
    RIGHT(CONVERT(VARCHAR(0), CAST([it dates] AS BINARY),2),1) !='D' AND
    RIGHT(CONVERT(VARCHAR(0), CAST([it dates] AS BINARY),2),1) !='F' THEN ''
 ELSE CASE
     WHEN RIGHT(CONVERT(VARCHAR(0), CAST([it dates] AS BINARY),2),1) ='C' THEN ''
     WHEN RIGHT(CONVERT(VARCHAR(0), CAST([it dates] AS BINARY),2),1)='D' THEN '-'
     WHEN RIGHT(CONVERT(VARCHAR(0), CAST([it dates] AS BINARY),2),1) ='F' THEN ''
   ELSE ''
   END + LEFT(CONVERT(VARCHAR(0), CAST([it dates] AS BINARY),2),-1)
 END AS VARCHAR(0)))) AS [it dates],</v>
      </c>
    </row>
    <row r="9" spans="1:19" x14ac:dyDescent="0.25">
      <c r="A9" s="6" t="s">
        <v>9</v>
      </c>
      <c r="B9" s="9">
        <v>3</v>
      </c>
      <c r="C9" s="2" t="str">
        <f t="shared" si="0"/>
        <v>SQLCHAR</v>
      </c>
      <c r="D9" s="13" t="str">
        <f t="shared" si="1"/>
        <v>COPERLIQ  VARCHAR(3),</v>
      </c>
      <c r="J9" s="2"/>
      <c r="K9" s="2"/>
      <c r="L9" s="2"/>
      <c r="M9" s="11" t="s">
        <v>35</v>
      </c>
      <c r="N9" s="3"/>
      <c r="Q9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10" spans="1:19" x14ac:dyDescent="0.25">
      <c r="A10" s="6" t="s">
        <v>10</v>
      </c>
      <c r="B10" s="9">
        <v>3</v>
      </c>
      <c r="C10" s="2" t="str">
        <f t="shared" si="0"/>
        <v>SQLCHAR</v>
      </c>
      <c r="D10" s="13" t="str">
        <f t="shared" si="1"/>
        <v>COPERAMO  VARCHAR(3),</v>
      </c>
      <c r="J10" s="2"/>
      <c r="K10" s="2"/>
      <c r="L10" s="2"/>
      <c r="M10" s="11" t="s">
        <v>35</v>
      </c>
      <c r="N10" s="2"/>
      <c r="Q10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11" spans="1:19" x14ac:dyDescent="0.25">
      <c r="A11" s="6" t="s">
        <v>11</v>
      </c>
      <c r="B11" s="9">
        <v>1</v>
      </c>
      <c r="C11" s="2" t="str">
        <f t="shared" si="0"/>
        <v>SQLCHAR</v>
      </c>
      <c r="D11" s="13" t="str">
        <f t="shared" si="1"/>
        <v>INTDLIQU  VARCHAR(1),</v>
      </c>
      <c r="J11" s="2"/>
      <c r="K11" s="2"/>
      <c r="L11" s="2"/>
      <c r="M11" s="11" t="s">
        <v>35</v>
      </c>
      <c r="N11" s="3"/>
      <c r="Q11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12" spans="1:19" x14ac:dyDescent="0.25">
      <c r="A12" s="6" t="s">
        <v>12</v>
      </c>
      <c r="B12" s="9">
        <v>1</v>
      </c>
      <c r="C12" s="2" t="str">
        <f t="shared" si="0"/>
        <v>SQLCHAR</v>
      </c>
      <c r="D12" s="13" t="str">
        <f t="shared" si="1"/>
        <v>INTDAMOR  VARCHAR(1),</v>
      </c>
      <c r="J12" s="2"/>
      <c r="K12" s="2"/>
      <c r="L12" s="2"/>
      <c r="M12" s="11" t="s">
        <v>35</v>
      </c>
      <c r="N12" s="3"/>
      <c r="Q12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13" spans="1:19" x14ac:dyDescent="0.25">
      <c r="A13" s="6" t="s">
        <v>13</v>
      </c>
      <c r="B13" s="9">
        <v>1</v>
      </c>
      <c r="C13" s="2" t="str">
        <f t="shared" si="0"/>
        <v>SQLCHAR</v>
      </c>
      <c r="D13" s="13" t="str">
        <f t="shared" si="1"/>
        <v>INLIQUID  VARCHAR(1),</v>
      </c>
      <c r="J13" s="2"/>
      <c r="K13" s="2"/>
      <c r="L13" s="2"/>
      <c r="M13" s="11" t="s">
        <v>35</v>
      </c>
      <c r="N13" s="3"/>
      <c r="Q13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14" spans="1:19" x14ac:dyDescent="0.25">
      <c r="A14" s="6" t="s">
        <v>14</v>
      </c>
      <c r="B14" s="9">
        <v>1</v>
      </c>
      <c r="C14" s="2" t="str">
        <f t="shared" si="0"/>
        <v>SQLCHAR</v>
      </c>
      <c r="D14" s="13" t="str">
        <f t="shared" si="1"/>
        <v>COTAMORT  VARCHAR(1),</v>
      </c>
      <c r="J14" s="2"/>
      <c r="K14" s="2"/>
      <c r="L14" s="2"/>
      <c r="M14" s="11" t="s">
        <v>35</v>
      </c>
      <c r="N14" s="2"/>
      <c r="Q14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15" spans="1:19" x14ac:dyDescent="0.25">
      <c r="A15" s="6" t="s">
        <v>15</v>
      </c>
      <c r="B15" s="9">
        <v>1</v>
      </c>
      <c r="C15" s="2" t="str">
        <f t="shared" si="0"/>
        <v>SQLCHAR</v>
      </c>
      <c r="D15" s="13" t="str">
        <f t="shared" si="1"/>
        <v>INTDOCUM  VARCHAR(1),</v>
      </c>
      <c r="J15" s="2"/>
      <c r="K15" s="2"/>
      <c r="L15" s="2"/>
      <c r="M15" s="11" t="s">
        <v>35</v>
      </c>
      <c r="N15" s="2"/>
      <c r="Q15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16" spans="1:19" x14ac:dyDescent="0.25">
      <c r="A16" s="6" t="s">
        <v>16</v>
      </c>
      <c r="B16" s="9">
        <v>3</v>
      </c>
      <c r="C16" s="2" t="str">
        <f t="shared" si="0"/>
        <v>SQLCHAR</v>
      </c>
      <c r="D16" s="13" t="str">
        <f t="shared" si="1"/>
        <v>COPERLIE  VARCHAR(3),</v>
      </c>
      <c r="J16" s="2"/>
      <c r="K16" s="2"/>
      <c r="L16" s="2"/>
      <c r="M16" s="11" t="s">
        <v>35</v>
      </c>
      <c r="N16" s="2"/>
      <c r="Q16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17" spans="1:17" x14ac:dyDescent="0.25">
      <c r="A17" s="6" t="s">
        <v>17</v>
      </c>
      <c r="B17" s="9">
        <v>1</v>
      </c>
      <c r="C17" s="2" t="str">
        <f t="shared" si="0"/>
        <v>SQLCHAR</v>
      </c>
      <c r="D17" s="13" t="str">
        <f t="shared" si="1"/>
        <v>COTAPLRE  VARCHAR(1),</v>
      </c>
      <c r="J17" s="2"/>
      <c r="K17" s="2"/>
      <c r="L17" s="2"/>
      <c r="M17" s="11" t="s">
        <v>35</v>
      </c>
      <c r="N17" s="2"/>
      <c r="Q17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18" spans="1:17" x14ac:dyDescent="0.25">
      <c r="A18" s="8" t="s">
        <v>18</v>
      </c>
      <c r="B18" s="10">
        <v>1</v>
      </c>
      <c r="C18" s="2" t="str">
        <f t="shared" si="0"/>
        <v>SQLCHAR</v>
      </c>
      <c r="D18" s="13" t="str">
        <f t="shared" si="1"/>
        <v>INVARAM   VARCHAR(1),</v>
      </c>
      <c r="J18" s="2"/>
      <c r="K18" s="2"/>
      <c r="L18" s="3"/>
      <c r="M18" s="11" t="s">
        <v>35</v>
      </c>
      <c r="N18" s="3"/>
      <c r="Q18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19" spans="1:17" x14ac:dyDescent="0.25">
      <c r="A19" s="8" t="s">
        <v>19</v>
      </c>
      <c r="B19" s="10">
        <v>1</v>
      </c>
      <c r="C19" s="2" t="str">
        <f t="shared" si="0"/>
        <v>SQLCHAR</v>
      </c>
      <c r="D19" s="13" t="str">
        <f t="shared" si="1"/>
        <v>INPERIOD   VARCHAR(1),</v>
      </c>
      <c r="J19" s="2"/>
      <c r="K19" s="2"/>
      <c r="L19" s="2"/>
      <c r="M19" s="11" t="s">
        <v>35</v>
      </c>
      <c r="N19" s="2"/>
      <c r="Q19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20" spans="1:17" x14ac:dyDescent="0.25">
      <c r="A20" s="8" t="s">
        <v>20</v>
      </c>
      <c r="B20" s="10">
        <v>8</v>
      </c>
      <c r="C20" s="2" t="str">
        <f t="shared" si="0"/>
        <v>SQLBINARY</v>
      </c>
      <c r="D20" s="13" t="str">
        <f t="shared" si="1"/>
        <v>RAZONVAR   BINARY(8),</v>
      </c>
      <c r="J20" s="2"/>
      <c r="K20" s="2"/>
      <c r="L20" s="3"/>
      <c r="M20" s="12" t="s">
        <v>36</v>
      </c>
      <c r="N20" s="3"/>
      <c r="Q20" s="1" t="str">
        <f t="shared" si="2"/>
        <v>LTRIM(RTRIM(CAST(
 CASE
  WHEN RIGHT(CONVERT(VARCHAR(0), CAST([S9 (m) V (n) COMP-3] AS BINARY),2),1) !='C' AND
    RIGHT(CONVERT(VARCHAR(0), CAST([S9 (m) V (n) COMP-3] AS BINARY),2),1) !='D' AND
    RIGHT(CONVERT(VARCHAR(0), CAST([S9 (m) V (n) COMP-3] AS BINARY),2),1) !='F' THEN ''
 ELSE CASE
     WHEN RIGHT(CONVERT(VARCHAR(0), CAST([S9 (m) V (n) COMP-3] AS BINARY),2),1) ='C' THEN ''
     WHEN RIGHT(CONVERT(VARCHAR(0), CAST([S9 (m) V (n) COMP-3] AS BINARY),2),1)='D' THEN '-'
     WHEN RIGHT(CONVERT(VARCHAR(0), CAST([S9 (m) V (n) COMP-3] AS BINARY),2),1) ='F' THEN ''
   ELSE ''
   END + LEFT(CONVERT(VARCHAR(0), CAST([S9 (m) V (n) COMP-3] AS BINARY),2),-1)
 END AS VARCHAR(0)))) AS [S9 (m) V (n) COMP-3],</v>
      </c>
    </row>
    <row r="21" spans="1:17" x14ac:dyDescent="0.25">
      <c r="A21" s="8" t="s">
        <v>21</v>
      </c>
      <c r="B21" s="10">
        <v>3</v>
      </c>
      <c r="C21" s="2" t="str">
        <f t="shared" si="0"/>
        <v>SQLCHAR</v>
      </c>
      <c r="D21" s="13" t="str">
        <f t="shared" si="1"/>
        <v>COPEVARI   VARCHAR(3),</v>
      </c>
      <c r="J21" s="2"/>
      <c r="K21" s="2"/>
      <c r="L21" s="2"/>
      <c r="M21" s="11" t="s">
        <v>35</v>
      </c>
      <c r="N21" s="3"/>
      <c r="Q21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22" spans="1:17" x14ac:dyDescent="0.25">
      <c r="A22" s="8" t="s">
        <v>22</v>
      </c>
      <c r="B22" s="10">
        <v>1</v>
      </c>
      <c r="C22" s="2" t="str">
        <f t="shared" si="0"/>
        <v>SQLBINARY</v>
      </c>
      <c r="D22" s="13" t="str">
        <f t="shared" si="1"/>
        <v>NUMEJEMP   BINARY(1),</v>
      </c>
      <c r="J22" s="2"/>
      <c r="K22" s="2"/>
      <c r="L22" s="2"/>
      <c r="M22" s="12" t="s">
        <v>36</v>
      </c>
      <c r="N22" s="3"/>
      <c r="Q22" s="1" t="str">
        <f t="shared" si="2"/>
        <v>LTRIM(RTRIM(CAST(
 CASE
  WHEN RIGHT(CONVERT(VARCHAR(0), CAST([S9 (m) V (n) COMP-3] AS BINARY),2),1) !='C' AND
    RIGHT(CONVERT(VARCHAR(0), CAST([S9 (m) V (n) COMP-3] AS BINARY),2),1) !='D' AND
    RIGHT(CONVERT(VARCHAR(0), CAST([S9 (m) V (n) COMP-3] AS BINARY),2),1) !='F' THEN ''
 ELSE CASE
     WHEN RIGHT(CONVERT(VARCHAR(0), CAST([S9 (m) V (n) COMP-3] AS BINARY),2),1) ='C' THEN ''
     WHEN RIGHT(CONVERT(VARCHAR(0), CAST([S9 (m) V (n) COMP-3] AS BINARY),2),1)='D' THEN '-'
     WHEN RIGHT(CONVERT(VARCHAR(0), CAST([S9 (m) V (n) COMP-3] AS BINARY),2),1) ='F' THEN ''
   ELSE ''
   END + LEFT(CONVERT(VARCHAR(0), CAST([S9 (m) V (n) COMP-3] AS BINARY),2),-1)
 END AS VARCHAR(0)))) AS [S9 (m) V (n) COMP-3],</v>
      </c>
    </row>
    <row r="23" spans="1:17" x14ac:dyDescent="0.25">
      <c r="A23" s="8" t="s">
        <v>23</v>
      </c>
      <c r="B23" s="10">
        <v>2</v>
      </c>
      <c r="C23" s="2" t="str">
        <f t="shared" si="0"/>
        <v>SQLBINARY</v>
      </c>
      <c r="D23" s="13" t="str">
        <f t="shared" si="1"/>
        <v>NUDIVFIJ   BINARY(2),</v>
      </c>
      <c r="J23" s="2"/>
      <c r="K23" s="2"/>
      <c r="L23" s="3"/>
      <c r="M23" s="12" t="s">
        <v>36</v>
      </c>
      <c r="N23" s="3"/>
      <c r="Q23" s="1" t="str">
        <f t="shared" si="2"/>
        <v>LTRIM(RTRIM(CAST(
 CASE
  WHEN RIGHT(CONVERT(VARCHAR(0), CAST([S9 (m) V (n) COMP-3] AS BINARY),2),1) !='C' AND
    RIGHT(CONVERT(VARCHAR(0), CAST([S9 (m) V (n) COMP-3] AS BINARY),2),1) !='D' AND
    RIGHT(CONVERT(VARCHAR(0), CAST([S9 (m) V (n) COMP-3] AS BINARY),2),1) !='F' THEN ''
 ELSE CASE
     WHEN RIGHT(CONVERT(VARCHAR(0), CAST([S9 (m) V (n) COMP-3] AS BINARY),2),1) ='C' THEN ''
     WHEN RIGHT(CONVERT(VARCHAR(0), CAST([S9 (m) V (n) COMP-3] AS BINARY),2),1)='D' THEN '-'
     WHEN RIGHT(CONVERT(VARCHAR(0), CAST([S9 (m) V (n) COMP-3] AS BINARY),2),1) ='F' THEN ''
   ELSE ''
   END + LEFT(CONVERT(VARCHAR(0), CAST([S9 (m) V (n) COMP-3] AS BINARY),2),-1)
 END AS VARCHAR(0)))) AS [S9 (m) V (n) COMP-3],</v>
      </c>
    </row>
    <row r="24" spans="1:17" x14ac:dyDescent="0.25">
      <c r="A24" s="8" t="s">
        <v>24</v>
      </c>
      <c r="B24" s="10">
        <v>1</v>
      </c>
      <c r="C24" s="2" t="str">
        <f t="shared" si="0"/>
        <v>SQLCHAR</v>
      </c>
      <c r="D24" s="13" t="str">
        <f t="shared" si="1"/>
        <v>INCALDIA   VARCHAR(1),</v>
      </c>
      <c r="J24" s="2"/>
      <c r="K24" s="2"/>
      <c r="L24" s="2"/>
      <c r="M24" s="11" t="s">
        <v>35</v>
      </c>
      <c r="N24" s="3"/>
      <c r="Q24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25" spans="1:17" x14ac:dyDescent="0.25">
      <c r="A25" s="8" t="s">
        <v>25</v>
      </c>
      <c r="B25" s="10">
        <v>8</v>
      </c>
      <c r="C25" s="2" t="str">
        <f t="shared" si="0"/>
        <v>SQLCHAR</v>
      </c>
      <c r="D25" s="13" t="str">
        <f t="shared" si="1"/>
        <v>USUAUL  VARCHAR(8),</v>
      </c>
      <c r="J25" s="4"/>
      <c r="K25" s="4"/>
      <c r="L25" s="4"/>
      <c r="M25" s="11" t="s">
        <v>35</v>
      </c>
      <c r="N25" s="3"/>
      <c r="Q25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26" spans="1:17" x14ac:dyDescent="0.25">
      <c r="A26" s="8" t="s">
        <v>26</v>
      </c>
      <c r="B26" s="9">
        <v>10</v>
      </c>
      <c r="C26" s="2" t="str">
        <f t="shared" si="0"/>
        <v>SQLCHAR</v>
      </c>
      <c r="D26" s="13" t="str">
        <f t="shared" si="1"/>
        <v>FECHUL  VARCHAR(10),</v>
      </c>
      <c r="J26" s="2"/>
      <c r="K26" s="2"/>
      <c r="L26" s="2"/>
      <c r="M26" s="11" t="s">
        <v>34</v>
      </c>
      <c r="N26" s="3"/>
      <c r="Q26" s="1" t="str">
        <f t="shared" si="2"/>
        <v>LTRIM(RTRIM(CAST(
 CASE
  WHEN RIGHT(CONVERT(VARCHAR(0), CAST([it dates] AS BINARY),2),1) !='C' AND
    RIGHT(CONVERT(VARCHAR(0), CAST([it dates] AS BINARY),2),1) !='D' AND
    RIGHT(CONVERT(VARCHAR(0), CAST([it dates] AS BINARY),2),1) !='F' THEN ''
 ELSE CASE
     WHEN RIGHT(CONVERT(VARCHAR(0), CAST([it dates] AS BINARY),2),1) ='C' THEN ''
     WHEN RIGHT(CONVERT(VARCHAR(0), CAST([it dates] AS BINARY),2),1)='D' THEN '-'
     WHEN RIGHT(CONVERT(VARCHAR(0), CAST([it dates] AS BINARY),2),1) ='F' THEN ''
   ELSE ''
   END + LEFT(CONVERT(VARCHAR(0), CAST([it dates] AS BINARY),2),-1)
 END AS VARCHAR(0)))) AS [it dates],</v>
      </c>
    </row>
    <row r="27" spans="1:17" x14ac:dyDescent="0.25">
      <c r="A27" s="8" t="s">
        <v>27</v>
      </c>
      <c r="B27" s="10">
        <v>1</v>
      </c>
      <c r="C27" s="2" t="str">
        <f t="shared" si="0"/>
        <v>SQLCHAR</v>
      </c>
      <c r="D27" s="13" t="str">
        <f t="shared" si="1"/>
        <v>RETLICAN   VARCHAR(1),</v>
      </c>
      <c r="J27" s="2"/>
      <c r="K27" s="2"/>
      <c r="L27" s="3"/>
      <c r="M27" s="11" t="s">
        <v>35</v>
      </c>
      <c r="N27" s="3"/>
      <c r="Q27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28" spans="1:17" x14ac:dyDescent="0.25">
      <c r="A28" s="8" t="s">
        <v>28</v>
      </c>
      <c r="B28" s="10">
        <v>1</v>
      </c>
      <c r="C28" s="2" t="str">
        <f t="shared" si="0"/>
        <v>SQLCHAR</v>
      </c>
      <c r="D28" s="13" t="str">
        <f t="shared" si="1"/>
        <v>INDSISLI   VARCHAR(1),</v>
      </c>
      <c r="J28" s="2"/>
      <c r="K28" s="2"/>
      <c r="L28" s="3"/>
      <c r="M28" s="11" t="s">
        <v>35</v>
      </c>
      <c r="N28" s="3"/>
      <c r="Q28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29" spans="1:17" x14ac:dyDescent="0.25">
      <c r="A29" s="8" t="s">
        <v>29</v>
      </c>
      <c r="B29" s="10">
        <v>1</v>
      </c>
      <c r="C29" s="2" t="str">
        <f t="shared" si="0"/>
        <v>SQLCHAR</v>
      </c>
      <c r="D29" s="13" t="str">
        <f t="shared" si="1"/>
        <v>INDESEXC  VARCHAR(1),</v>
      </c>
      <c r="M29" s="11" t="s">
        <v>35</v>
      </c>
      <c r="Q29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30" spans="1:17" x14ac:dyDescent="0.25">
      <c r="A30" s="6" t="s">
        <v>30</v>
      </c>
      <c r="B30" s="9">
        <v>2</v>
      </c>
      <c r="C30" s="2" t="str">
        <f t="shared" si="0"/>
        <v>SQLBINARY</v>
      </c>
      <c r="D30" s="13" t="str">
        <f t="shared" si="1"/>
        <v>DIVFIJHB  BINARY(2),</v>
      </c>
      <c r="M30" s="12" t="s">
        <v>36</v>
      </c>
      <c r="Q30" s="1" t="str">
        <f t="shared" si="2"/>
        <v>LTRIM(RTRIM(CAST(
 CASE
  WHEN RIGHT(CONVERT(VARCHAR(0), CAST([S9 (m) V (n) COMP-3] AS BINARY),2),1) !='C' AND
    RIGHT(CONVERT(VARCHAR(0), CAST([S9 (m) V (n) COMP-3] AS BINARY),2),1) !='D' AND
    RIGHT(CONVERT(VARCHAR(0), CAST([S9 (m) V (n) COMP-3] AS BINARY),2),1) !='F' THEN ''
 ELSE CASE
     WHEN RIGHT(CONVERT(VARCHAR(0), CAST([S9 (m) V (n) COMP-3] AS BINARY),2),1) ='C' THEN ''
     WHEN RIGHT(CONVERT(VARCHAR(0), CAST([S9 (m) V (n) COMP-3] AS BINARY),2),1)='D' THEN '-'
     WHEN RIGHT(CONVERT(VARCHAR(0), CAST([S9 (m) V (n) COMP-3] AS BINARY),2),1) ='F' THEN ''
   ELSE ''
   END + LEFT(CONVERT(VARCHAR(0), CAST([S9 (m) V (n) COMP-3] AS BINARY),2),-1)
 END AS VARCHAR(0)))) AS [S9 (m) V (n) COMP-3],</v>
      </c>
    </row>
    <row r="31" spans="1:17" x14ac:dyDescent="0.25">
      <c r="A31" s="6" t="s">
        <v>31</v>
      </c>
      <c r="B31" s="9">
        <v>2</v>
      </c>
      <c r="C31" s="2" t="str">
        <f t="shared" si="0"/>
        <v>SQLBINARY</v>
      </c>
      <c r="D31" s="13" t="str">
        <f t="shared" si="1"/>
        <v>DIASCOB   BINARY(2),</v>
      </c>
      <c r="M31" s="12" t="s">
        <v>36</v>
      </c>
      <c r="Q31" s="1" t="str">
        <f t="shared" si="2"/>
        <v>LTRIM(RTRIM(CAST(
 CASE
  WHEN RIGHT(CONVERT(VARCHAR(0), CAST([S9 (m) V (n) COMP-3] AS BINARY),2),1) !='C' AND
    RIGHT(CONVERT(VARCHAR(0), CAST([S9 (m) V (n) COMP-3] AS BINARY),2),1) !='D' AND
    RIGHT(CONVERT(VARCHAR(0), CAST([S9 (m) V (n) COMP-3] AS BINARY),2),1) !='F' THEN ''
 ELSE CASE
     WHEN RIGHT(CONVERT(VARCHAR(0), CAST([S9 (m) V (n) COMP-3] AS BINARY),2),1) ='C' THEN ''
     WHEN RIGHT(CONVERT(VARCHAR(0), CAST([S9 (m) V (n) COMP-3] AS BINARY),2),1)='D' THEN '-'
     WHEN RIGHT(CONVERT(VARCHAR(0), CAST([S9 (m) V (n) COMP-3] AS BINARY),2),1) ='F' THEN ''
   ELSE ''
   END + LEFT(CONVERT(VARCHAR(0), CAST([S9 (m) V (n) COMP-3] AS BINARY),2),-1)
 END AS VARCHAR(0)))) AS [S9 (m) V (n) COMP-3],</v>
      </c>
    </row>
    <row r="32" spans="1:17" x14ac:dyDescent="0.25">
      <c r="A32" s="6" t="s">
        <v>32</v>
      </c>
      <c r="B32" s="9">
        <v>2</v>
      </c>
      <c r="C32" s="2" t="str">
        <f t="shared" si="0"/>
        <v>SQLBINARY</v>
      </c>
      <c r="D32" s="13" t="str">
        <f t="shared" si="1"/>
        <v>DIACOBRO  BINARY(2),</v>
      </c>
      <c r="M32" s="12" t="s">
        <v>36</v>
      </c>
      <c r="Q32" s="1" t="str">
        <f t="shared" si="2"/>
        <v>LTRIM(RTRIM(CAST(
 CASE
  WHEN RIGHT(CONVERT(VARCHAR(0), CAST([S9 (m) V (n) COMP-3] AS BINARY),2),1) !='C' AND
    RIGHT(CONVERT(VARCHAR(0), CAST([S9 (m) V (n) COMP-3] AS BINARY),2),1) !='D' AND
    RIGHT(CONVERT(VARCHAR(0), CAST([S9 (m) V (n) COMP-3] AS BINARY),2),1) !='F' THEN ''
 ELSE CASE
     WHEN RIGHT(CONVERT(VARCHAR(0), CAST([S9 (m) V (n) COMP-3] AS BINARY),2),1) ='C' THEN ''
     WHEN RIGHT(CONVERT(VARCHAR(0), CAST([S9 (m) V (n) COMP-3] AS BINARY),2),1)='D' THEN '-'
     WHEN RIGHT(CONVERT(VARCHAR(0), CAST([S9 (m) V (n) COMP-3] AS BINARY),2),1) ='F' THEN ''
   ELSE ''
   END + LEFT(CONVERT(VARCHAR(0), CAST([S9 (m) V (n) COMP-3] AS BINARY),2),-1)
 END AS VARCHAR(0)))) AS [S9 (m) V (n) COMP-3],</v>
      </c>
    </row>
    <row r="33" spans="1:17" x14ac:dyDescent="0.25">
      <c r="A33" s="7" t="s">
        <v>33</v>
      </c>
      <c r="B33" s="10">
        <v>2</v>
      </c>
      <c r="C33" s="2" t="str">
        <f t="shared" si="0"/>
        <v>SQLCHAR</v>
      </c>
      <c r="D33" s="13" t="str">
        <f t="shared" si="1"/>
        <v>DIALIQ  VARCHAR(2),</v>
      </c>
      <c r="L33" s="5"/>
      <c r="M33" s="11" t="s">
        <v>35</v>
      </c>
      <c r="Q33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34" spans="1:17" x14ac:dyDescent="0.25">
      <c r="A34" s="7" t="s">
        <v>0</v>
      </c>
      <c r="B34" s="10">
        <v>38</v>
      </c>
      <c r="C34" s="2" t="str">
        <f t="shared" si="0"/>
        <v>SQLCHAR</v>
      </c>
      <c r="D34" s="13" t="str">
        <f t="shared" si="1"/>
        <v>FILLER  VARCHAR(38),</v>
      </c>
      <c r="L34" s="5"/>
      <c r="M34" s="11" t="s">
        <v>35</v>
      </c>
      <c r="Q34" s="1" t="str">
        <f t="shared" si="2"/>
        <v>LTRIM(RTRIM(CAST(
 CASE
  WHEN RIGHT(CONVERT(VARCHAR(0), CAST([Alphanumeric] AS BINARY),2),1) !='C' AND
    RIGHT(CONVERT(VARCHAR(0), CAST([Alphanumeric] AS BINARY),2),1) !='D' AND
    RIGHT(CONVERT(VARCHAR(0), CAST([Alphanumeric] AS BINARY),2),1) !='F' THEN ''
 ELSE CASE
     WHEN RIGHT(CONVERT(VARCHAR(0), CAST([Alphanumeric] AS BINARY),2),1) ='C' THEN ''
     WHEN RIGHT(CONVERT(VARCHAR(0), CAST([Alphanumeric] AS BINARY),2),1)='D' THEN '-'
     WHEN RIGHT(CONVERT(VARCHAR(0), CAST([Alphanumeric] AS BINARY),2),1) ='F' THEN ''
   ELSE ''
   END + LEFT(CONVERT(VARCHAR(0), CAST([Alphanumeric] AS BINARY),2),-1)
 END AS VARCHAR(0)))) AS [Alphanumeric],</v>
      </c>
    </row>
    <row r="35" spans="1:17" x14ac:dyDescent="0.25">
      <c r="C35" s="5"/>
      <c r="L35" s="5"/>
    </row>
    <row r="36" spans="1:17" x14ac:dyDescent="0.25">
      <c r="C36" s="5"/>
      <c r="L36" s="5"/>
    </row>
    <row r="37" spans="1:17" x14ac:dyDescent="0.25">
      <c r="C37" s="5"/>
      <c r="L37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G23" sqref="G23"/>
    </sheetView>
  </sheetViews>
  <sheetFormatPr defaultRowHeight="15" x14ac:dyDescent="0.25"/>
  <sheetData/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CustomTab" label="D2Mapper">
        <group id="SimpleControls" label="Generate Class">
          <button id="Button1" imageMso="AdvertisePublishAs" size="large" label="Generate" onAction="ThisWorkbook.generateClas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SheetA</vt:lpstr>
      <vt:lpstr>_Sheet1</vt:lpstr>
      <vt:lpstr>bb</vt:lpstr>
    </vt:vector>
  </TitlesOfParts>
  <Company>d2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dhbajracharya</dc:creator>
  <cp:lastModifiedBy>Dhiraj Bajracharya</cp:lastModifiedBy>
  <dcterms:created xsi:type="dcterms:W3CDTF">2011-02-01T12:32:04Z</dcterms:created>
  <dcterms:modified xsi:type="dcterms:W3CDTF">2015-04-24T10:04:58Z</dcterms:modified>
</cp:coreProperties>
</file>